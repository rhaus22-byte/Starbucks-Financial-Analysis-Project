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hauser\Documents\"/>
    </mc:Choice>
  </mc:AlternateContent>
  <xr:revisionPtr revIDLastSave="0" documentId="13_ncr:1_{BEA8881D-A94F-4098-AB13-CE44E1465678}" xr6:coauthVersionLast="47" xr6:coauthVersionMax="47" xr10:uidLastSave="{00000000-0000-0000-0000-000000000000}"/>
  <bookViews>
    <workbookView xWindow="-492" yWindow="1152" windowWidth="21600" windowHeight="11328" xr2:uid="{47BD9D55-C177-4E95-BAD1-8B123BCDA1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" i="1" l="1"/>
  <c r="I24" i="1"/>
  <c r="I13" i="1"/>
  <c r="I34" i="1"/>
  <c r="I23" i="1"/>
  <c r="I12" i="1"/>
  <c r="I33" i="1"/>
  <c r="I22" i="1"/>
  <c r="I11" i="1"/>
  <c r="I32" i="1"/>
  <c r="I21" i="1"/>
  <c r="I10" i="1"/>
  <c r="I31" i="1"/>
  <c r="I20" i="1"/>
  <c r="I9" i="1"/>
  <c r="I7" i="1"/>
  <c r="I30" i="1"/>
  <c r="I19" i="1"/>
  <c r="I8" i="1"/>
  <c r="I29" i="1"/>
  <c r="I18" i="1"/>
  <c r="I28" i="1"/>
  <c r="I17" i="1"/>
  <c r="I6" i="1"/>
  <c r="I27" i="1"/>
  <c r="I16" i="1"/>
  <c r="I5" i="1"/>
  <c r="E36" i="1"/>
  <c r="E25" i="1"/>
  <c r="E14" i="1"/>
  <c r="E35" i="1"/>
  <c r="E13" i="1"/>
  <c r="E24" i="1"/>
  <c r="E34" i="1"/>
  <c r="E23" i="1"/>
  <c r="E12" i="1"/>
  <c r="E10" i="1"/>
  <c r="E21" i="1"/>
  <c r="E32" i="1"/>
  <c r="E33" i="1"/>
  <c r="E22" i="1"/>
  <c r="E11" i="1"/>
  <c r="E31" i="1"/>
  <c r="E20" i="1"/>
  <c r="E9" i="1"/>
  <c r="E30" i="1"/>
  <c r="E19" i="1"/>
  <c r="E8" i="1"/>
  <c r="E7" i="1"/>
  <c r="E18" i="1"/>
  <c r="E29" i="1"/>
  <c r="E28" i="1"/>
  <c r="E17" i="1"/>
  <c r="E6" i="1"/>
  <c r="E27" i="1"/>
  <c r="E16" i="1"/>
  <c r="E5" i="1"/>
</calcChain>
</file>

<file path=xl/sharedStrings.xml><?xml version="1.0" encoding="utf-8"?>
<sst xmlns="http://schemas.openxmlformats.org/spreadsheetml/2006/main" count="59" uniqueCount="21">
  <si>
    <t>Starbucks Corporation (SBUX) Financial Analysis</t>
  </si>
  <si>
    <t>Acid-test ratio</t>
  </si>
  <si>
    <t>Current ratio</t>
  </si>
  <si>
    <t>Collection period</t>
  </si>
  <si>
    <t>Days to sell inventory</t>
  </si>
  <si>
    <t>Return on assets</t>
  </si>
  <si>
    <t>Return on common equity</t>
  </si>
  <si>
    <t>Inventory turnover</t>
  </si>
  <si>
    <t>Working capital turnover</t>
  </si>
  <si>
    <t>PPE turnover</t>
  </si>
  <si>
    <t>Total asset turnover</t>
  </si>
  <si>
    <t>Total debt to equity</t>
  </si>
  <si>
    <t>Long-term debt to equity</t>
  </si>
  <si>
    <t>Times interest earned</t>
  </si>
  <si>
    <t>Gross profit margin</t>
  </si>
  <si>
    <t>Operating profit margin</t>
  </si>
  <si>
    <t>Net profit margin</t>
  </si>
  <si>
    <t>Price-to-earnings</t>
  </si>
  <si>
    <t>Dividend payout rate</t>
  </si>
  <si>
    <t>Price-to-book</t>
  </si>
  <si>
    <t>*All figures and calculations derived from Starbucks 10k report for 2021, 2022, and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</si>
</sst>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2" borderId="0" xfId="0" applyFont="1" applyFill="1"/>
    <xf numFmtId="0" fontId="0" fillId="3" borderId="1" xfId="0" applyFill="1" applyBorder="1"/>
    <xf numFmtId="0" fontId="0" fillId="4" borderId="1" xfId="0" applyFill="1" applyBorder="1"/>
    <xf numFmtId="10" fontId="0" fillId="3" borderId="1" xfId="1" applyNumberFormat="1" applyFont="1" applyFill="1" applyBorder="1"/>
    <xf numFmtId="10" fontId="0" fillId="4" borderId="1" xfId="1" applyNumberFormat="1" applyFont="1" applyFill="1" applyBorder="1"/>
    <xf numFmtId="0" fontId="2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95CA4-B75C-4F62-9754-D537A557C9D4}">
  <dimension ref="A3:L37"/>
  <sheetViews>
    <sheetView tabSelected="1" zoomScaleNormal="100" workbookViewId="0">
      <selection activeCell="N11" sqref="N11"/>
    </sheetView>
  </sheetViews>
  <sheetFormatPr defaultRowHeight="14.4" x14ac:dyDescent="0.3"/>
  <sheetData>
    <row r="3" spans="1:12" x14ac:dyDescent="0.3">
      <c r="A3" s="9" t="s">
        <v>0</v>
      </c>
      <c r="B3" s="9"/>
      <c r="C3" s="9"/>
      <c r="D3" s="9"/>
      <c r="E3" s="9"/>
      <c r="F3" s="9"/>
      <c r="G3" s="9"/>
      <c r="H3" s="9"/>
      <c r="I3" s="9"/>
      <c r="J3" s="9"/>
      <c r="L3" t="s">
        <v>20</v>
      </c>
    </row>
    <row r="4" spans="1:12" x14ac:dyDescent="0.3">
      <c r="A4" s="4">
        <v>2021</v>
      </c>
      <c r="B4" s="2"/>
      <c r="C4" s="2"/>
      <c r="D4" s="2"/>
      <c r="E4" s="2"/>
      <c r="F4" s="2"/>
      <c r="G4" s="2"/>
      <c r="H4" s="2"/>
      <c r="I4" s="2"/>
      <c r="J4" s="1"/>
    </row>
    <row r="5" spans="1:12" x14ac:dyDescent="0.3">
      <c r="A5" s="1"/>
      <c r="B5" s="5" t="s">
        <v>2</v>
      </c>
      <c r="C5" s="5"/>
      <c r="D5" s="5"/>
      <c r="E5" s="5">
        <f>9756.4/8151.4</f>
        <v>1.1968986922491842</v>
      </c>
      <c r="F5" s="5" t="s">
        <v>11</v>
      </c>
      <c r="G5" s="5"/>
      <c r="H5" s="5"/>
      <c r="I5" s="5">
        <f>36707.1/-5314.5</f>
        <v>-6.9069714930849564</v>
      </c>
      <c r="J5" s="1"/>
    </row>
    <row r="6" spans="1:12" x14ac:dyDescent="0.3">
      <c r="A6" s="1"/>
      <c r="B6" s="5" t="s">
        <v>1</v>
      </c>
      <c r="C6" s="5"/>
      <c r="D6" s="5"/>
      <c r="E6" s="5">
        <f>(6455.7+940)/8151.4</f>
        <v>0.90729199892043089</v>
      </c>
      <c r="F6" s="5" t="s">
        <v>12</v>
      </c>
      <c r="G6" s="5"/>
      <c r="H6" s="5"/>
      <c r="I6" s="5">
        <f>13616.9/-5314.5</f>
        <v>-2.5622165772885501</v>
      </c>
      <c r="J6" s="1"/>
    </row>
    <row r="7" spans="1:12" x14ac:dyDescent="0.3">
      <c r="A7" s="1"/>
      <c r="B7" s="5" t="s">
        <v>3</v>
      </c>
      <c r="C7" s="5"/>
      <c r="D7" s="5"/>
      <c r="E7" s="5">
        <f>940/29060.6*365</f>
        <v>11.806363254716008</v>
      </c>
      <c r="F7" s="5" t="s">
        <v>13</v>
      </c>
      <c r="G7" s="5"/>
      <c r="H7" s="5"/>
      <c r="I7" s="5">
        <f>(5356.9-469.8)/469.8</f>
        <v>10.402511707109406</v>
      </c>
      <c r="J7" s="1"/>
    </row>
    <row r="8" spans="1:12" x14ac:dyDescent="0.3">
      <c r="A8" s="1"/>
      <c r="B8" s="5" t="s">
        <v>4</v>
      </c>
      <c r="C8" s="5"/>
      <c r="D8" s="5"/>
      <c r="E8" s="5">
        <f>1603.9/8739*365</f>
        <v>66.989758553610258</v>
      </c>
      <c r="F8" s="5" t="s">
        <v>14</v>
      </c>
      <c r="G8" s="5"/>
      <c r="H8" s="5"/>
      <c r="I8" s="7">
        <f>(29060.6-8738.7)/29060.6</f>
        <v>0.69929388932093617</v>
      </c>
      <c r="J8" s="1"/>
    </row>
    <row r="9" spans="1:12" x14ac:dyDescent="0.3">
      <c r="A9" s="1"/>
      <c r="B9" s="5" t="s">
        <v>5</v>
      </c>
      <c r="C9" s="5"/>
      <c r="D9" s="5"/>
      <c r="E9" s="7">
        <f>4199.3/31392.6</f>
        <v>0.13376719354242722</v>
      </c>
      <c r="F9" s="5" t="s">
        <v>15</v>
      </c>
      <c r="G9" s="5"/>
      <c r="H9" s="5"/>
      <c r="I9" s="7">
        <f>(5356.9-469.8)/29060.6</f>
        <v>0.16816927386220518</v>
      </c>
      <c r="J9" s="1"/>
    </row>
    <row r="10" spans="1:12" x14ac:dyDescent="0.3">
      <c r="A10" s="1"/>
      <c r="B10" s="5" t="s">
        <v>6</v>
      </c>
      <c r="C10" s="5"/>
      <c r="D10" s="5"/>
      <c r="E10" s="7">
        <f>4199.3/-5315</f>
        <v>-0.79008466603951089</v>
      </c>
      <c r="F10" s="5" t="s">
        <v>16</v>
      </c>
      <c r="G10" s="5"/>
      <c r="H10" s="5"/>
      <c r="I10" s="7">
        <f>4199.3/29060.6</f>
        <v>0.14450148998988321</v>
      </c>
      <c r="J10" s="1"/>
    </row>
    <row r="11" spans="1:12" x14ac:dyDescent="0.3">
      <c r="A11" s="1"/>
      <c r="B11" s="5" t="s">
        <v>7</v>
      </c>
      <c r="C11" s="5"/>
      <c r="D11" s="5"/>
      <c r="E11" s="5">
        <f>8739/1603.9</f>
        <v>5.4485940519982536</v>
      </c>
      <c r="F11" s="5" t="s">
        <v>17</v>
      </c>
      <c r="G11" s="5"/>
      <c r="H11" s="5"/>
      <c r="I11" s="5">
        <f>105.48/3.54</f>
        <v>29.796610169491526</v>
      </c>
      <c r="J11" s="1"/>
    </row>
    <row r="12" spans="1:12" x14ac:dyDescent="0.3">
      <c r="A12" s="1"/>
      <c r="B12" s="5" t="s">
        <v>8</v>
      </c>
      <c r="C12" s="5"/>
      <c r="D12" s="5"/>
      <c r="E12" s="5">
        <f>29060.6/(9756.4-8151.4)</f>
        <v>18.106292834890965</v>
      </c>
      <c r="F12" s="5" t="s">
        <v>18</v>
      </c>
      <c r="G12" s="5"/>
      <c r="H12" s="5"/>
      <c r="I12" s="7">
        <f>2119/4199.3</f>
        <v>0.50460791084228318</v>
      </c>
      <c r="J12" s="1"/>
    </row>
    <row r="13" spans="1:12" x14ac:dyDescent="0.3">
      <c r="A13" s="1"/>
      <c r="B13" s="5" t="s">
        <v>9</v>
      </c>
      <c r="C13" s="5"/>
      <c r="D13" s="5"/>
      <c r="E13" s="5">
        <f>29060.6/(7387.1-1441.7)</f>
        <v>4.8879133447707463</v>
      </c>
      <c r="F13" s="5" t="s">
        <v>19</v>
      </c>
      <c r="G13" s="5"/>
      <c r="H13" s="5"/>
      <c r="I13" s="5">
        <f>105.48/((31392.6-36707.1)/1180)</f>
        <v>-23.420152413209145</v>
      </c>
      <c r="J13" s="1"/>
    </row>
    <row r="14" spans="1:12" x14ac:dyDescent="0.3">
      <c r="A14" s="1"/>
      <c r="B14" s="5" t="s">
        <v>10</v>
      </c>
      <c r="C14" s="5"/>
      <c r="D14" s="5"/>
      <c r="E14" s="5">
        <f>29060.6/31392.6</f>
        <v>0.92571497741505959</v>
      </c>
      <c r="F14" s="2"/>
      <c r="G14" s="2"/>
      <c r="H14" s="2"/>
      <c r="I14" s="2"/>
      <c r="J14" s="1"/>
    </row>
    <row r="15" spans="1:12" x14ac:dyDescent="0.3">
      <c r="A15" s="4">
        <v>2022</v>
      </c>
      <c r="B15" s="3"/>
      <c r="C15" s="3"/>
      <c r="D15" s="3"/>
      <c r="E15" s="3"/>
      <c r="F15" s="3"/>
      <c r="G15" s="3"/>
      <c r="H15" s="3"/>
      <c r="I15" s="3"/>
      <c r="J15" s="1"/>
    </row>
    <row r="16" spans="1:12" x14ac:dyDescent="0.3">
      <c r="A16" s="1"/>
      <c r="B16" s="6" t="s">
        <v>2</v>
      </c>
      <c r="C16" s="6"/>
      <c r="D16" s="6"/>
      <c r="E16" s="6">
        <f>7018.7/9151.8</f>
        <v>0.76692016870998059</v>
      </c>
      <c r="F16" s="6" t="s">
        <v>11</v>
      </c>
      <c r="G16" s="6"/>
      <c r="H16" s="6"/>
      <c r="I16" s="6">
        <f>36677.1/-8698.7</f>
        <v>-4.2163886557761501</v>
      </c>
      <c r="J16" s="1"/>
    </row>
    <row r="17" spans="1:10" x14ac:dyDescent="0.3">
      <c r="A17" s="1"/>
      <c r="B17" s="6" t="s">
        <v>1</v>
      </c>
      <c r="C17" s="6"/>
      <c r="D17" s="6"/>
      <c r="E17" s="6">
        <f>(2818.4+1175.5)/9151.8</f>
        <v>0.43640595292729306</v>
      </c>
      <c r="F17" s="6" t="s">
        <v>12</v>
      </c>
      <c r="G17" s="6"/>
      <c r="H17" s="6"/>
      <c r="I17" s="6">
        <f>13119.9/-8698.7</f>
        <v>-1.5082598549208501</v>
      </c>
      <c r="J17" s="1"/>
    </row>
    <row r="18" spans="1:10" x14ac:dyDescent="0.3">
      <c r="A18" s="1"/>
      <c r="B18" s="6" t="s">
        <v>3</v>
      </c>
      <c r="C18" s="6"/>
      <c r="D18" s="6"/>
      <c r="E18" s="6">
        <f>1175.5/32250.3*365</f>
        <v>13.30398476913393</v>
      </c>
      <c r="F18" s="6" t="s">
        <v>13</v>
      </c>
      <c r="G18" s="6"/>
      <c r="H18" s="6"/>
      <c r="I18" s="6">
        <f>(4231.9-482.9)/482.9</f>
        <v>7.7635121143093802</v>
      </c>
      <c r="J18" s="1"/>
    </row>
    <row r="19" spans="1:10" x14ac:dyDescent="0.3">
      <c r="A19" s="1"/>
      <c r="B19" s="6" t="s">
        <v>4</v>
      </c>
      <c r="C19" s="6"/>
      <c r="D19" s="6"/>
      <c r="E19" s="6">
        <f>2176.6/10317*365</f>
        <v>77.004846370068805</v>
      </c>
      <c r="F19" s="6" t="s">
        <v>14</v>
      </c>
      <c r="G19" s="6"/>
      <c r="H19" s="6"/>
      <c r="I19" s="8">
        <f>(32250.3-10317.4)/32250.3</f>
        <v>0.68008359612158653</v>
      </c>
      <c r="J19" s="1"/>
    </row>
    <row r="20" spans="1:10" x14ac:dyDescent="0.3">
      <c r="A20" s="1"/>
      <c r="B20" s="6" t="s">
        <v>5</v>
      </c>
      <c r="C20" s="6"/>
      <c r="D20" s="6"/>
      <c r="E20" s="8">
        <f>3281.6/27978.4</f>
        <v>0.11729048122837617</v>
      </c>
      <c r="F20" s="6" t="s">
        <v>15</v>
      </c>
      <c r="G20" s="6"/>
      <c r="H20" s="6"/>
      <c r="I20" s="8">
        <f>(4231.9-482.9)/32250.3</f>
        <v>0.11624698064824202</v>
      </c>
      <c r="J20" s="1"/>
    </row>
    <row r="21" spans="1:10" x14ac:dyDescent="0.3">
      <c r="A21" s="1"/>
      <c r="B21" s="6" t="s">
        <v>6</v>
      </c>
      <c r="C21" s="6"/>
      <c r="D21" s="6"/>
      <c r="E21" s="8">
        <f>3281.6/-8699</f>
        <v>-0.37723876307621562</v>
      </c>
      <c r="F21" s="6" t="s">
        <v>16</v>
      </c>
      <c r="G21" s="6"/>
      <c r="H21" s="6"/>
      <c r="I21" s="8">
        <f>3281.6/32250.3</f>
        <v>0.10175409220999494</v>
      </c>
      <c r="J21" s="1"/>
    </row>
    <row r="22" spans="1:10" x14ac:dyDescent="0.3">
      <c r="A22" s="1"/>
      <c r="B22" s="6" t="s">
        <v>7</v>
      </c>
      <c r="C22" s="6"/>
      <c r="D22" s="6"/>
      <c r="E22" s="6">
        <f>10317/2176.6</f>
        <v>4.7399614077000827</v>
      </c>
      <c r="F22" s="6" t="s">
        <v>17</v>
      </c>
      <c r="G22" s="6"/>
      <c r="H22" s="6"/>
      <c r="I22" s="6">
        <f>80.47/2.83</f>
        <v>28.434628975265017</v>
      </c>
      <c r="J22" s="1"/>
    </row>
    <row r="23" spans="1:10" x14ac:dyDescent="0.3">
      <c r="A23" s="1"/>
      <c r="B23" s="6" t="s">
        <v>8</v>
      </c>
      <c r="C23" s="6"/>
      <c r="D23" s="6"/>
      <c r="E23" s="6">
        <f>32250.3/(7018.7-9151.8)</f>
        <v>-15.118981763630401</v>
      </c>
      <c r="F23" s="6" t="s">
        <v>18</v>
      </c>
      <c r="G23" s="6"/>
      <c r="H23" s="6"/>
      <c r="I23" s="8">
        <f>2263.3/3281.6</f>
        <v>0.6896940516821064</v>
      </c>
      <c r="J23" s="1"/>
    </row>
    <row r="24" spans="1:10" x14ac:dyDescent="0.3">
      <c r="A24" s="1"/>
      <c r="B24" s="6" t="s">
        <v>9</v>
      </c>
      <c r="C24" s="6"/>
      <c r="D24" s="6"/>
      <c r="E24" s="6">
        <f>32250.3/(6560.5-1447.9)</f>
        <v>6.3080037554277659</v>
      </c>
      <c r="F24" s="6" t="s">
        <v>19</v>
      </c>
      <c r="G24" s="6"/>
      <c r="H24" s="6"/>
      <c r="I24" s="6">
        <f>80.47/((27978.4-36677.1)/1147.9)</f>
        <v>-10.619002034786812</v>
      </c>
      <c r="J24" s="1"/>
    </row>
    <row r="25" spans="1:10" x14ac:dyDescent="0.3">
      <c r="A25" s="1"/>
      <c r="B25" s="6" t="s">
        <v>10</v>
      </c>
      <c r="C25" s="6"/>
      <c r="D25" s="6"/>
      <c r="E25" s="6">
        <f>32250.3/27978.4</f>
        <v>1.1526856432104766</v>
      </c>
      <c r="F25" s="3"/>
      <c r="G25" s="3"/>
      <c r="H25" s="3"/>
      <c r="I25" s="3"/>
      <c r="J25" s="1"/>
    </row>
    <row r="26" spans="1:10" x14ac:dyDescent="0.3">
      <c r="A26" s="4">
        <v>2023</v>
      </c>
      <c r="B26" s="2"/>
      <c r="C26" s="2"/>
      <c r="D26" s="2"/>
      <c r="E26" s="2"/>
      <c r="F26" s="2"/>
      <c r="G26" s="2"/>
      <c r="H26" s="2"/>
      <c r="I26" s="2"/>
      <c r="J26" s="1"/>
    </row>
    <row r="27" spans="1:10" x14ac:dyDescent="0.3">
      <c r="A27" s="1"/>
      <c r="B27" s="5" t="s">
        <v>2</v>
      </c>
      <c r="C27" s="5"/>
      <c r="D27" s="5"/>
      <c r="E27" s="5">
        <f>7303.4/9345.3</f>
        <v>0.78150514162199181</v>
      </c>
      <c r="F27" s="5" t="s">
        <v>11</v>
      </c>
      <c r="G27" s="5"/>
      <c r="H27" s="5"/>
      <c r="I27" s="5">
        <f>37433.3/-7987.8</f>
        <v>-4.6863091214101509</v>
      </c>
      <c r="J27" s="1"/>
    </row>
    <row r="28" spans="1:10" x14ac:dyDescent="0.3">
      <c r="A28" s="1"/>
      <c r="B28" s="5" t="s">
        <v>1</v>
      </c>
      <c r="C28" s="5"/>
      <c r="D28" s="5"/>
      <c r="E28" s="5">
        <f>(3551.5+1184.1)/9345.3</f>
        <v>0.50673600633473515</v>
      </c>
      <c r="F28" s="5" t="s">
        <v>12</v>
      </c>
      <c r="G28" s="5"/>
      <c r="H28" s="5"/>
      <c r="I28" s="5">
        <f>13547.6/-7987.8</f>
        <v>-1.696036455594782</v>
      </c>
      <c r="J28" s="1"/>
    </row>
    <row r="29" spans="1:10" x14ac:dyDescent="0.3">
      <c r="A29" s="1"/>
      <c r="B29" s="5" t="s">
        <v>3</v>
      </c>
      <c r="C29" s="5"/>
      <c r="D29" s="5"/>
      <c r="E29" s="5">
        <f>1184.1/35975.6*365</f>
        <v>12.013600885044308</v>
      </c>
      <c r="F29" s="5" t="s">
        <v>13</v>
      </c>
      <c r="G29" s="5"/>
      <c r="H29" s="5"/>
      <c r="I29" s="5">
        <f>(5401.9-550.1)/550.1</f>
        <v>8.8198509361934185</v>
      </c>
      <c r="J29" s="1"/>
    </row>
    <row r="30" spans="1:10" x14ac:dyDescent="0.3">
      <c r="A30" s="1"/>
      <c r="B30" s="5" t="s">
        <v>4</v>
      </c>
      <c r="C30" s="5"/>
      <c r="D30" s="5"/>
      <c r="E30" s="5">
        <f>1806.4/11409*365</f>
        <v>57.790866859496887</v>
      </c>
      <c r="F30" s="5" t="s">
        <v>14</v>
      </c>
      <c r="G30" s="5"/>
      <c r="H30" s="5"/>
      <c r="I30" s="7">
        <f>(35975.6-11409.1)/35975.6</f>
        <v>0.68286560891270753</v>
      </c>
      <c r="J30" s="1"/>
    </row>
    <row r="31" spans="1:10" x14ac:dyDescent="0.3">
      <c r="A31" s="1"/>
      <c r="B31" s="5" t="s">
        <v>5</v>
      </c>
      <c r="C31" s="5"/>
      <c r="D31" s="5"/>
      <c r="E31" s="7">
        <f>4124.5/29445.5</f>
        <v>0.14007233702942726</v>
      </c>
      <c r="F31" s="5" t="s">
        <v>15</v>
      </c>
      <c r="G31" s="5"/>
      <c r="H31" s="5"/>
      <c r="I31" s="7">
        <f>(5401.9-550.1)/35975.6</f>
        <v>0.1348636297935267</v>
      </c>
      <c r="J31" s="1"/>
    </row>
    <row r="32" spans="1:10" x14ac:dyDescent="0.3">
      <c r="A32" s="1"/>
      <c r="B32" s="5" t="s">
        <v>6</v>
      </c>
      <c r="C32" s="5"/>
      <c r="D32" s="5"/>
      <c r="E32" s="7">
        <f>4124.5/-7988</f>
        <v>-0.51633700550826245</v>
      </c>
      <c r="F32" s="5" t="s">
        <v>16</v>
      </c>
      <c r="G32" s="5"/>
      <c r="H32" s="5"/>
      <c r="I32" s="7">
        <f>4124.5/35975.6</f>
        <v>0.11464714973482028</v>
      </c>
      <c r="J32" s="1"/>
    </row>
    <row r="33" spans="1:10" x14ac:dyDescent="0.3">
      <c r="A33" s="1"/>
      <c r="B33" s="5" t="s">
        <v>7</v>
      </c>
      <c r="C33" s="5"/>
      <c r="D33" s="5"/>
      <c r="E33" s="5">
        <f>11409/1806.4</f>
        <v>6.3158768821966342</v>
      </c>
      <c r="F33" s="5" t="s">
        <v>17</v>
      </c>
      <c r="G33" s="5"/>
      <c r="H33" s="5"/>
      <c r="I33" s="5">
        <f>89.01/3.58</f>
        <v>24.863128491620113</v>
      </c>
      <c r="J33" s="1"/>
    </row>
    <row r="34" spans="1:10" x14ac:dyDescent="0.3">
      <c r="A34" s="1"/>
      <c r="B34" s="5" t="s">
        <v>8</v>
      </c>
      <c r="C34" s="5"/>
      <c r="D34" s="5"/>
      <c r="E34" s="5">
        <f>35975.6/(7303.4-9345.3)</f>
        <v>-17.618688476419024</v>
      </c>
      <c r="F34" s="5" t="s">
        <v>18</v>
      </c>
      <c r="G34" s="5"/>
      <c r="H34" s="5"/>
      <c r="I34" s="7">
        <f>2431.8/4124.5</f>
        <v>0.58959873924112016</v>
      </c>
      <c r="J34" s="1"/>
    </row>
    <row r="35" spans="1:10" x14ac:dyDescent="0.3">
      <c r="A35" s="1"/>
      <c r="B35" s="5" t="s">
        <v>9</v>
      </c>
      <c r="C35" s="5"/>
      <c r="D35" s="5"/>
      <c r="E35" s="5">
        <f>35975.6/(7387.1-1362.6)</f>
        <v>5.9715495061830852</v>
      </c>
      <c r="F35" s="5" t="s">
        <v>19</v>
      </c>
      <c r="G35" s="5"/>
      <c r="H35" s="5"/>
      <c r="I35" s="5">
        <f>89.01/((29445.5-37433.3)/1142.6)</f>
        <v>-12.732269961691575</v>
      </c>
      <c r="J35" s="1"/>
    </row>
    <row r="36" spans="1:10" x14ac:dyDescent="0.3">
      <c r="A36" s="1"/>
      <c r="B36" s="5" t="s">
        <v>10</v>
      </c>
      <c r="C36" s="5"/>
      <c r="D36" s="5"/>
      <c r="E36" s="5">
        <f>35975.6/29445.5</f>
        <v>1.221769030921533</v>
      </c>
      <c r="F36" s="2"/>
      <c r="G36" s="2"/>
      <c r="H36" s="2"/>
      <c r="I36" s="2"/>
      <c r="J36" s="1"/>
    </row>
    <row r="37" spans="1:1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</row>
  </sheetData>
  <mergeCells count="1">
    <mergeCell ref="A3:J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Hauser</dc:creator>
  <cp:lastModifiedBy>Richard Hauser</cp:lastModifiedBy>
  <cp:lastPrinted>2024-10-10T18:49:16Z</cp:lastPrinted>
  <dcterms:created xsi:type="dcterms:W3CDTF">2024-10-10T13:44:50Z</dcterms:created>
  <dcterms:modified xsi:type="dcterms:W3CDTF">2024-10-17T15:13:43Z</dcterms:modified>
</cp:coreProperties>
</file>